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wmf" ContentType="image/x-wmf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blem 1" sheetId="1" state="visible" r:id="rId3"/>
    <sheet name="Test Cases" sheetId="2" state="visible" r:id="rId4"/>
    <sheet name="Problem 2" sheetId="3" state="visible" r:id="rId5"/>
    <sheet name="Problem 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<sst xmlns="http://schemas.openxmlformats.org/spreadsheetml/2006/main" count="70" uniqueCount="66">
  <si>
    <t xml:space="preserve">Name:</t>
  </si>
  <si>
    <t xml:space="preserve">Student ID:</t>
  </si>
  <si>
    <t xml:space="preserve">Date:</t>
  </si>
  <si>
    <t xml:space="preserve">Problem:</t>
  </si>
  <si>
    <t xml:space="preserve">A custom designed marble swimming pool is shown below and will be installed at the White House in Washington, DC.  One side of the swimming pool takes the shape of a circular arch, while the other side takes the shape of a rectangle.  The depth of the water in the arch area is 5 feet, while the depth of the rectangular area is 10 feet.  The total outer perimeter of the swimming pool, including both the arch and rectangle, is constrained to a length P in feet.  What pool dimensions r and h produce the largest area defined by the rectangular part of the swimming pool only, for a given perimeter P? </t>
  </si>
  <si>
    <t xml:space="preserve">Table 1: Constants and equations, Inputs</t>
  </si>
  <si>
    <t xml:space="preserve">Table 2: Calculate Area of Rectangle</t>
  </si>
  <si>
    <t xml:space="preserve">Table 3: Analysis</t>
  </si>
  <si>
    <t xml:space="preserve">Parameter</t>
  </si>
  <si>
    <t xml:space="preserve">Value</t>
  </si>
  <si>
    <t xml:space="preserve">Radius (r) [ft]</t>
  </si>
  <si>
    <t xml:space="preserve">Area (A) [ft^2]</t>
  </si>
  <si>
    <t xml:space="preserve">Find Maximum Area, Amax, [ft^2]:</t>
  </si>
  <si>
    <t xml:space="preserve">Perimeter P [ft]:</t>
  </si>
  <si>
    <t xml:space="preserve">Corresponding Radius r [ft]:</t>
  </si>
  <si>
    <t xml:space="preserve">Area Equation of rectangular shape, A [ft^2]:</t>
  </si>
  <si>
    <t xml:space="preserve">A=(2r)(h)</t>
  </si>
  <si>
    <t xml:space="preserve">Constraint Equation for the Perimeter:</t>
  </si>
  <si>
    <t xml:space="preserve">P=(2r)(1/2P-1/2πr-r)</t>
  </si>
  <si>
    <t xml:space="preserve">Area with Constraint:</t>
  </si>
  <si>
    <t xml:space="preserve">A=(2r)(1/2P-1/2πr-r)</t>
  </si>
  <si>
    <t xml:space="preserve">Increment dR of Radius r [ft]:</t>
  </si>
  <si>
    <t xml:space="preserve">Maximum allowable radius length Rmax [ft]:</t>
  </si>
  <si>
    <t xml:space="preserve">Table 4: Final Dimensions of Pool and Verification</t>
  </si>
  <si>
    <t xml:space="preserve">Pool Height h [ft]</t>
  </si>
  <si>
    <t xml:space="preserve">Verify Area by recalculating with new data:</t>
  </si>
  <si>
    <t xml:space="preserve">Does the radius r exceed the maximum length Rmax?</t>
  </si>
  <si>
    <t xml:space="preserve">Test Case</t>
  </si>
  <si>
    <t xml:space="preserve">P</t>
  </si>
  <si>
    <t xml:space="preserve">Increment dR</t>
  </si>
  <si>
    <t xml:space="preserve">Rmax</t>
  </si>
  <si>
    <t xml:space="preserve">Amax</t>
  </si>
  <si>
    <t xml:space="preserve">r</t>
  </si>
  <si>
    <t xml:space="preserve">h</t>
  </si>
  <si>
    <t xml:space="preserve">r&gt;Rmax</t>
  </si>
  <si>
    <t xml:space="preserve">NO</t>
  </si>
  <si>
    <t xml:space="preserve">YES</t>
  </si>
  <si>
    <t xml:space="preserve">Problem 2</t>
  </si>
  <si>
    <t xml:space="preserve">Table 1</t>
  </si>
  <si>
    <t xml:space="preserve">Table 2</t>
  </si>
  <si>
    <t xml:space="preserve">Metal</t>
  </si>
  <si>
    <t xml:space="preserve">Specific Heat Capcity 
(Cp) [J/(g K)]</t>
  </si>
  <si>
    <t xml:space="preserve">Specific Gravity
(SG) [-]</t>
  </si>
  <si>
    <t xml:space="preserve">Hardness
(H) [Moh]</t>
  </si>
  <si>
    <t xml:space="preserve">Copper</t>
  </si>
  <si>
    <t xml:space="preserve">Specific Gravity (SG) [-]</t>
  </si>
  <si>
    <t xml:space="preserve">Hardness (H) [Moh]</t>
  </si>
  <si>
    <t xml:space="preserve">Brass</t>
  </si>
  <si>
    <t xml:space="preserve">Number of Metals with Hardness</t>
  </si>
  <si>
    <t xml:space="preserve">Bronze</t>
  </si>
  <si>
    <t xml:space="preserve">Less than Chosen Metal</t>
  </si>
  <si>
    <t xml:space="preserve">Metal lowest hardness</t>
  </si>
  <si>
    <t xml:space="preserve">Iron</t>
  </si>
  <si>
    <t xml:space="preserve">Lead</t>
  </si>
  <si>
    <t xml:space="preserve">Molybdenum</t>
  </si>
  <si>
    <t xml:space="preserve">Platinum</t>
  </si>
  <si>
    <t xml:space="preserve">Steel</t>
  </si>
  <si>
    <t xml:space="preserve">Tin</t>
  </si>
  <si>
    <t xml:space="preserve">Tungsten</t>
  </si>
  <si>
    <t xml:space="preserve">Uranium</t>
  </si>
  <si>
    <t xml:space="preserve">Zinc</t>
  </si>
  <si>
    <t xml:space="preserve">Problem 3</t>
  </si>
  <si>
    <t xml:space="preserve">Normal Stress</t>
  </si>
  <si>
    <t xml:space="preserve">Eigenvalue λ  =</t>
  </si>
  <si>
    <r>
      <rPr>
        <sz val="12"/>
        <color theme="1"/>
        <rFont val="Calibri"/>
        <family val="2"/>
        <charset val="1"/>
      </rPr>
      <t xml:space="preserve">Location (</t>
    </r>
    <r>
      <rPr>
        <i val="true"/>
        <sz val="12"/>
        <color theme="1"/>
        <rFont val="Calibri"/>
        <family val="2"/>
        <charset val="1"/>
      </rPr>
      <t xml:space="preserve">r</t>
    </r>
    <r>
      <rPr>
        <sz val="12"/>
        <color theme="1"/>
        <rFont val="Calibri"/>
        <family val="2"/>
        <charset val="1"/>
      </rPr>
      <t xml:space="preserve">) [m]</t>
    </r>
  </si>
  <si>
    <r>
      <rPr>
        <sz val="12"/>
        <color theme="1"/>
        <rFont val="Calibri"/>
        <family val="2"/>
        <charset val="1"/>
      </rPr>
      <t xml:space="preserve">Angle (</t>
    </r>
    <r>
      <rPr>
        <sz val="12"/>
        <color theme="1"/>
        <rFont val="Symbol"/>
        <family val="0"/>
        <charset val="2"/>
      </rPr>
      <t xml:space="preserve">q</t>
    </r>
    <r>
      <rPr>
        <sz val="12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</si>
</sst>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.000"/>
    <numFmt numFmtId="168" formatCode="0.00E+00"/>
  </numFmts>
  <fonts count="12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i val="true"/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name val="Calibri"/>
      <family val="2"/>
      <charset val="1"/>
    </font>
    <font>
      <sz val="12"/>
      <color theme="1"/>
      <name val="Symbol"/>
      <family val="0"/>
      <charset val="2"/>
    </font>
  </fonts>
  <fills count="13">
    <fill>
      <patternFill patternType="none"/>
    </fill>
    <fill>
      <patternFill patternType="gray125"/>
    </fill>
    <fill>
      <patternFill patternType="solid">
        <fgColor theme="5" tint="0.7999"/>
        <bgColor rgb="FFF8CBAD"/>
      </patternFill>
    </fill>
    <fill>
      <patternFill patternType="solid">
        <fgColor theme="8" tint="0.3999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theme="9" tint="-0.25"/>
        <bgColor rgb="FF339966"/>
      </patternFill>
    </fill>
    <fill>
      <patternFill patternType="solid">
        <fgColor theme="8"/>
        <bgColor rgb="FF4472C4"/>
      </patternFill>
    </fill>
    <fill>
      <patternFill patternType="solid">
        <fgColor theme="9" tint="0.5999"/>
        <bgColor rgb="FFB4C7E7"/>
      </patternFill>
    </fill>
    <fill>
      <patternFill patternType="solid">
        <fgColor theme="8" tint="-0.25"/>
        <bgColor rgb="FF4472C4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5" tint="0.5999"/>
        <bgColor rgb="FFFBE5D6"/>
      </patternFill>
    </fill>
    <fill>
      <patternFill patternType="solid">
        <fgColor theme="7" tint="0.3999"/>
        <bgColor rgb="FFF8CBAD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7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2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7E7"/>
      <rgbColor rgb="FF808080"/>
      <rgbColor rgb="FF5B9BD5"/>
      <rgbColor rgb="FF993366"/>
      <rgbColor rgb="FFFBE5D6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D966"/>
      <rgbColor rgb="FF9DC3E6"/>
      <rgbColor rgb="FFFF99CC"/>
      <rgbColor rgb="FFCC99FF"/>
      <rgbColor rgb="FFF8CBAD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269640</xdr:colOff>
      <xdr:row>0</xdr:row>
      <xdr:rowOff>191520</xdr:rowOff>
    </xdr:from>
    <xdr:to>
      <xdr:col>9</xdr:col>
      <xdr:colOff>692640</xdr:colOff>
      <xdr:row>3</xdr:row>
      <xdr:rowOff>12960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1607760" y="191520"/>
          <a:ext cx="7560360" cy="421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14" activeCellId="0" sqref="C14"/>
    </sheetView>
  </sheetViews>
  <sheetFormatPr defaultColWidth="10.56640625" defaultRowHeight="15.75" customHeight="true" zeroHeight="false" outlineLevelRow="0" outlineLevelCol="0"/>
  <cols>
    <col collapsed="false" customWidth="true" hidden="false" outlineLevel="0" max="2" min="2" style="1" width="39.16"/>
    <col collapsed="false" customWidth="true" hidden="false" outlineLevel="0" max="3" min="3" style="1" width="19.83"/>
    <col collapsed="false" customWidth="true" hidden="false" outlineLevel="0" max="6" min="6" style="1" width="16.16"/>
    <col collapsed="false" customWidth="true" hidden="false" outlineLevel="0" max="7" min="7" style="1" width="16"/>
    <col collapsed="false" customWidth="true" hidden="false" outlineLevel="0" max="10" min="10" style="1" width="46"/>
  </cols>
  <sheetData>
    <row r="1" customFormat="false" ht="15.75" hidden="false" customHeight="false" outlineLevel="0" collapsed="false">
      <c r="A1" s="2" t="s">
        <v>0</v>
      </c>
    </row>
    <row r="2" customFormat="false" ht="15.75" hidden="false" customHeight="false" outlineLevel="0" collapsed="false">
      <c r="A2" s="2" t="s">
        <v>1</v>
      </c>
    </row>
    <row r="3" customFormat="false" ht="15.75" hidden="false" customHeight="false" outlineLevel="0" collapsed="false">
      <c r="A3" s="2" t="s">
        <v>2</v>
      </c>
    </row>
    <row r="5" customFormat="false" ht="15.75" hidden="false" customHeight="false" outlineLevel="0" collapsed="false">
      <c r="A5" s="2" t="s">
        <v>3</v>
      </c>
    </row>
    <row r="6" customFormat="false" ht="15.75" hidden="false" customHeight="true" outlineLevel="0" collapsed="false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5.7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15.7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6.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1" customFormat="false" ht="15.75" hidden="false" customHeight="false" outlineLevel="0" collapsed="false">
      <c r="B11" s="4" t="s">
        <v>5</v>
      </c>
      <c r="C11" s="5"/>
      <c r="F11" s="6" t="s">
        <v>6</v>
      </c>
      <c r="G11" s="6"/>
      <c r="J11" s="7" t="s">
        <v>7</v>
      </c>
      <c r="K11" s="7"/>
    </row>
    <row r="12" customFormat="false" ht="15.75" hidden="false" customHeight="false" outlineLevel="0" collapsed="false">
      <c r="B12" s="8" t="s">
        <v>8</v>
      </c>
      <c r="C12" s="9" t="s">
        <v>9</v>
      </c>
      <c r="F12" s="8" t="s">
        <v>10</v>
      </c>
      <c r="G12" s="10" t="s">
        <v>11</v>
      </c>
      <c r="J12" s="11" t="s">
        <v>12</v>
      </c>
      <c r="K12" s="12" t="n">
        <f aca="false">MAX(G13:G43)</f>
        <v>1093.1416529423</v>
      </c>
    </row>
    <row r="13" customFormat="false" ht="15.75" hidden="false" customHeight="false" outlineLevel="0" collapsed="false">
      <c r="B13" s="11" t="s">
        <v>13</v>
      </c>
      <c r="C13" s="12" t="n">
        <v>150</v>
      </c>
      <c r="F13" s="13" t="n">
        <v>0</v>
      </c>
      <c r="G13" s="12" t="n">
        <f aca="false">2*F13*(0.5*$C$13-0.5*PI()*F13-F13)</f>
        <v>0</v>
      </c>
      <c r="J13" s="14" t="s">
        <v>14</v>
      </c>
      <c r="K13" s="15" t="n">
        <f aca="false">_xlfn.XLOOKUP(K12,G13:G43,F13:F43)</f>
        <v>15</v>
      </c>
    </row>
    <row r="14" customFormat="false" ht="15.75" hidden="false" customHeight="false" outlineLevel="0" collapsed="false">
      <c r="B14" s="11" t="s">
        <v>15</v>
      </c>
      <c r="C14" s="12" t="s">
        <v>16</v>
      </c>
      <c r="F14" s="13" t="n">
        <f aca="false">F13+$C$17</f>
        <v>1</v>
      </c>
      <c r="G14" s="12" t="n">
        <f aca="false">2*F14*(0.5*$C$13-0.5*PI()*F14-F14)</f>
        <v>144.85840734641</v>
      </c>
    </row>
    <row r="15" customFormat="false" ht="15.75" hidden="false" customHeight="false" outlineLevel="0" collapsed="false">
      <c r="B15" s="11" t="s">
        <v>17</v>
      </c>
      <c r="C15" s="12" t="s">
        <v>18</v>
      </c>
      <c r="F15" s="13" t="n">
        <f aca="false">F14+$C$17</f>
        <v>2</v>
      </c>
      <c r="G15" s="12" t="n">
        <f aca="false">2*F15*(0.5*$C$13-0.5*PI()*F15-F15)</f>
        <v>279.433629385641</v>
      </c>
    </row>
    <row r="16" customFormat="false" ht="15.75" hidden="false" customHeight="false" outlineLevel="0" collapsed="false">
      <c r="B16" s="11" t="s">
        <v>19</v>
      </c>
      <c r="C16" s="12" t="s">
        <v>20</v>
      </c>
      <c r="F16" s="13" t="n">
        <f aca="false">F15+$C$17</f>
        <v>3</v>
      </c>
      <c r="G16" s="12" t="n">
        <f aca="false">2*F16*(0.5*$C$13-0.5*PI()*F16-F16)</f>
        <v>403.725666117692</v>
      </c>
    </row>
    <row r="17" customFormat="false" ht="15.75" hidden="false" customHeight="false" outlineLevel="0" collapsed="false">
      <c r="B17" s="11" t="s">
        <v>21</v>
      </c>
      <c r="C17" s="12" t="n">
        <v>1</v>
      </c>
      <c r="F17" s="13" t="n">
        <f aca="false">F16+$C$17</f>
        <v>4</v>
      </c>
      <c r="G17" s="12" t="n">
        <f aca="false">2*F17*(0.5*$C$13-0.5*PI()*F17-F17)</f>
        <v>517.734517542563</v>
      </c>
    </row>
    <row r="18" customFormat="false" ht="15.75" hidden="false" customHeight="false" outlineLevel="0" collapsed="false">
      <c r="B18" s="14" t="s">
        <v>22</v>
      </c>
      <c r="C18" s="15" t="n">
        <v>16</v>
      </c>
      <c r="F18" s="13" t="n">
        <f aca="false">F17+$C$17</f>
        <v>5</v>
      </c>
      <c r="G18" s="12" t="n">
        <f aca="false">2*F18*(0.5*$C$13-0.5*PI()*F18-F18)</f>
        <v>621.460183660255</v>
      </c>
      <c r="J18" s="16" t="s">
        <v>23</v>
      </c>
      <c r="K18" s="16"/>
    </row>
    <row r="19" customFormat="false" ht="15.75" hidden="false" customHeight="false" outlineLevel="0" collapsed="false">
      <c r="F19" s="13" t="n">
        <f aca="false">F18+$C$17</f>
        <v>6</v>
      </c>
      <c r="G19" s="12" t="n">
        <f aca="false">2*F19*(0.5*$C$13-0.5*PI()*F19-F19)</f>
        <v>714.902664470768</v>
      </c>
      <c r="J19" s="11" t="s">
        <v>24</v>
      </c>
      <c r="K19" s="12" t="n">
        <f aca="false">0.5*C13-0.5*PI()*K13-K13</f>
        <v>36.4380550980766</v>
      </c>
    </row>
    <row r="20" customFormat="false" ht="15.75" hidden="false" customHeight="false" outlineLevel="0" collapsed="false">
      <c r="F20" s="13" t="n">
        <f aca="false">F19+$C$17</f>
        <v>7</v>
      </c>
      <c r="G20" s="12" t="n">
        <f aca="false">2*F20*(0.5*$C$13-0.5*PI()*F20-F20)</f>
        <v>798.0619599741</v>
      </c>
      <c r="J20" s="11" t="s">
        <v>25</v>
      </c>
      <c r="K20" s="12" t="n">
        <f aca="false">2*K13*K19</f>
        <v>1093.1416529423</v>
      </c>
    </row>
    <row r="21" customFormat="false" ht="15.75" hidden="false" customHeight="false" outlineLevel="0" collapsed="false">
      <c r="F21" s="13" t="n">
        <f aca="false">F20+$C$17</f>
        <v>8</v>
      </c>
      <c r="G21" s="12" t="n">
        <f aca="false">2*F21*(0.5*$C$13-0.5*PI()*F21-F21)</f>
        <v>870.938070170253</v>
      </c>
      <c r="J21" s="14" t="s">
        <v>26</v>
      </c>
      <c r="K21" s="15" t="str">
        <f aca="false">IF(K13&gt;C18, "YES", "NO")</f>
        <v>NO</v>
      </c>
    </row>
    <row r="22" customFormat="false" ht="15.75" hidden="false" customHeight="false" outlineLevel="0" collapsed="false">
      <c r="F22" s="13" t="n">
        <f aca="false">F21+$C$17</f>
        <v>9</v>
      </c>
      <c r="G22" s="12" t="n">
        <f aca="false">2*F22*(0.5*$C$13-0.5*PI()*F22-F22)</f>
        <v>933.530995059227</v>
      </c>
    </row>
    <row r="23" customFormat="false" ht="15.75" hidden="false" customHeight="false" outlineLevel="0" collapsed="false">
      <c r="F23" s="13" t="n">
        <f aca="false">F22+$C$17</f>
        <v>10</v>
      </c>
      <c r="G23" s="12" t="n">
        <f aca="false">2*F23*(0.5*$C$13-0.5*PI()*F23-F23)</f>
        <v>985.840734641021</v>
      </c>
    </row>
    <row r="24" customFormat="false" ht="15.75" hidden="false" customHeight="false" outlineLevel="0" collapsed="false">
      <c r="F24" s="13" t="n">
        <f aca="false">F23+$C$17</f>
        <v>11</v>
      </c>
      <c r="G24" s="12" t="n">
        <f aca="false">2*F24*(0.5*$C$13-0.5*PI()*F24-F24)</f>
        <v>1027.86728891564</v>
      </c>
    </row>
    <row r="25" customFormat="false" ht="15.75" hidden="false" customHeight="false" outlineLevel="0" collapsed="false">
      <c r="F25" s="13" t="n">
        <f aca="false">F24+$C$17</f>
        <v>12</v>
      </c>
      <c r="G25" s="12" t="n">
        <f aca="false">2*F25*(0.5*$C$13-0.5*PI()*F25-F25)</f>
        <v>1059.61065788307</v>
      </c>
    </row>
    <row r="26" customFormat="false" ht="15.75" hidden="false" customHeight="false" outlineLevel="0" collapsed="false">
      <c r="F26" s="13" t="n">
        <f aca="false">F25+$C$17</f>
        <v>13</v>
      </c>
      <c r="G26" s="12" t="n">
        <f aca="false">2*F26*(0.5*$C$13-0.5*PI()*F26-F26)</f>
        <v>1081.07084154332</v>
      </c>
    </row>
    <row r="27" customFormat="false" ht="15.75" hidden="false" customHeight="false" outlineLevel="0" collapsed="false">
      <c r="F27" s="13" t="n">
        <f aca="false">F26+$C$17</f>
        <v>14</v>
      </c>
      <c r="G27" s="12" t="n">
        <f aca="false">2*F27*(0.5*$C$13-0.5*PI()*F27-F27)</f>
        <v>1092.2478398964</v>
      </c>
    </row>
    <row r="28" customFormat="false" ht="15.75" hidden="false" customHeight="false" outlineLevel="0" collapsed="false">
      <c r="F28" s="13" t="n">
        <f aca="false">F27+$C$17</f>
        <v>15</v>
      </c>
      <c r="G28" s="12" t="n">
        <f aca="false">2*F28*(0.5*$C$13-0.5*PI()*F28-F28)</f>
        <v>1093.1416529423</v>
      </c>
    </row>
    <row r="29" customFormat="false" ht="15.75" hidden="false" customHeight="false" outlineLevel="0" collapsed="false">
      <c r="F29" s="13" t="n">
        <f aca="false">F28+$C$17</f>
        <v>16</v>
      </c>
      <c r="G29" s="12" t="n">
        <f aca="false">2*F29*(0.5*$C$13-0.5*PI()*F29-F29)</f>
        <v>1083.75228068101</v>
      </c>
    </row>
    <row r="30" customFormat="false" ht="15.75" hidden="false" customHeight="false" outlineLevel="0" collapsed="false">
      <c r="F30" s="13" t="n">
        <f aca="false">F29+$C$17</f>
        <v>17</v>
      </c>
      <c r="G30" s="12" t="n">
        <f aca="false">2*F30*(0.5*$C$13-0.5*PI()*F30-F30)</f>
        <v>1064.07972311255</v>
      </c>
    </row>
    <row r="31" customFormat="false" ht="15.75" hidden="false" customHeight="false" outlineLevel="0" collapsed="false">
      <c r="F31" s="13" t="n">
        <f aca="false">F30+$C$17</f>
        <v>18</v>
      </c>
      <c r="G31" s="12" t="n">
        <f aca="false">2*F31*(0.5*$C$13-0.5*PI()*F31-F31)</f>
        <v>1034.12398023691</v>
      </c>
    </row>
    <row r="32" customFormat="false" ht="15.75" hidden="false" customHeight="false" outlineLevel="0" collapsed="false">
      <c r="F32" s="13" t="n">
        <f aca="false">F31+$C$17</f>
        <v>19</v>
      </c>
      <c r="G32" s="12" t="n">
        <f aca="false">2*F32*(0.5*$C$13-0.5*PI()*F32-F32)</f>
        <v>993.885052054085</v>
      </c>
    </row>
    <row r="33" customFormat="false" ht="15.75" hidden="false" customHeight="false" outlineLevel="0" collapsed="false">
      <c r="F33" s="13" t="n">
        <f aca="false">F32+$C$17</f>
        <v>20</v>
      </c>
      <c r="G33" s="12" t="n">
        <f aca="false">2*F33*(0.5*$C$13-0.5*PI()*F33-F33)</f>
        <v>943.362938564083</v>
      </c>
    </row>
    <row r="34" customFormat="false" ht="15.75" hidden="false" customHeight="false" outlineLevel="0" collapsed="false">
      <c r="F34" s="13" t="n">
        <f aca="false">F33+$C$17</f>
        <v>21</v>
      </c>
      <c r="G34" s="12" t="n">
        <f aca="false">2*F34*(0.5*$C$13-0.5*PI()*F34-F34)</f>
        <v>882.557639766901</v>
      </c>
    </row>
    <row r="35" customFormat="false" ht="15.75" hidden="false" customHeight="false" outlineLevel="0" collapsed="false">
      <c r="F35" s="13" t="n">
        <f aca="false">F34+$C$17</f>
        <v>22</v>
      </c>
      <c r="G35" s="12" t="n">
        <f aca="false">2*F35*(0.5*$C$13-0.5*PI()*F35-F35)</f>
        <v>811.46915566254</v>
      </c>
    </row>
    <row r="36" customFormat="false" ht="15.75" hidden="false" customHeight="false" outlineLevel="0" collapsed="false">
      <c r="F36" s="13" t="n">
        <f aca="false">F35+$C$17</f>
        <v>23</v>
      </c>
      <c r="G36" s="12" t="n">
        <f aca="false">2*F36*(0.5*$C$13-0.5*PI()*F36-F36)</f>
        <v>730.097486251</v>
      </c>
    </row>
    <row r="37" customFormat="false" ht="15.75" hidden="false" customHeight="false" outlineLevel="0" collapsed="false">
      <c r="F37" s="13" t="n">
        <f aca="false">F36+$C$17</f>
        <v>24</v>
      </c>
      <c r="G37" s="12" t="n">
        <f aca="false">2*F37*(0.5*$C$13-0.5*PI()*F37-F37)</f>
        <v>638.442631532279</v>
      </c>
    </row>
    <row r="38" customFormat="false" ht="15.75" hidden="false" customHeight="false" outlineLevel="0" collapsed="false">
      <c r="F38" s="13" t="n">
        <f aca="false">F37+$C$17</f>
        <v>25</v>
      </c>
      <c r="G38" s="12" t="n">
        <f aca="false">2*F38*(0.5*$C$13-0.5*PI()*F38-F38)</f>
        <v>536.504591506379</v>
      </c>
    </row>
    <row r="39" customFormat="false" ht="15.75" hidden="false" customHeight="false" outlineLevel="0" collapsed="false">
      <c r="F39" s="13" t="n">
        <f aca="false">F38+$C$17</f>
        <v>26</v>
      </c>
      <c r="G39" s="12" t="n">
        <f aca="false">2*F39*(0.5*$C$13-0.5*PI()*F39-F39)</f>
        <v>424.2833661733</v>
      </c>
    </row>
    <row r="40" customFormat="false" ht="15.75" hidden="false" customHeight="false" outlineLevel="0" collapsed="false">
      <c r="F40" s="13" t="n">
        <f aca="false">F39+$C$17</f>
        <v>27</v>
      </c>
      <c r="G40" s="12" t="n">
        <f aca="false">2*F40*(0.5*$C$13-0.5*PI()*F40-F40)</f>
        <v>301.778955533041</v>
      </c>
    </row>
    <row r="41" customFormat="false" ht="15.75" hidden="false" customHeight="false" outlineLevel="0" collapsed="false">
      <c r="F41" s="13" t="n">
        <f aca="false">F40+$C$17</f>
        <v>28</v>
      </c>
      <c r="G41" s="12" t="n">
        <f aca="false">2*F41*(0.5*$C$13-0.5*PI()*F41-F41)</f>
        <v>168.991359585602</v>
      </c>
    </row>
    <row r="42" customFormat="false" ht="15.75" hidden="false" customHeight="false" outlineLevel="0" collapsed="false">
      <c r="F42" s="13" t="n">
        <f aca="false">F41+$C$17</f>
        <v>29</v>
      </c>
      <c r="G42" s="12" t="n">
        <f aca="false">2*F42*(0.5*$C$13-0.5*PI()*F42-F42)</f>
        <v>25.9205783309839</v>
      </c>
    </row>
    <row r="43" customFormat="false" ht="15.75" hidden="false" customHeight="false" outlineLevel="0" collapsed="false">
      <c r="F43" s="17" t="n">
        <f aca="false">F42+C17</f>
        <v>30</v>
      </c>
      <c r="G43" s="15" t="n">
        <f aca="false">2*F43*(0.5*$C$13-0.5*PI()*F43-F43)</f>
        <v>-127.433388230814</v>
      </c>
    </row>
  </sheetData>
  <mergeCells count="4">
    <mergeCell ref="A6:L9"/>
    <mergeCell ref="F11:G11"/>
    <mergeCell ref="J11:K11"/>
    <mergeCell ref="J18:K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I7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14" activeCellId="0" sqref="D14"/>
    </sheetView>
  </sheetViews>
  <sheetFormatPr defaultColWidth="10.56640625" defaultRowHeight="15.75" customHeight="true" zeroHeight="false" outlineLevelRow="0" outlineLevelCol="0"/>
  <cols>
    <col collapsed="false" customWidth="true" hidden="false" outlineLevel="0" max="4" min="4" style="1" width="11.83"/>
  </cols>
  <sheetData>
    <row r="3" customFormat="false" ht="15.75" hidden="false" customHeight="false" outlineLevel="0" collapsed="false">
      <c r="B3" s="18" t="s">
        <v>27</v>
      </c>
      <c r="C3" s="19" t="s">
        <v>28</v>
      </c>
      <c r="D3" s="19" t="s">
        <v>29</v>
      </c>
      <c r="E3" s="19" t="s">
        <v>30</v>
      </c>
      <c r="F3" s="19" t="s">
        <v>31</v>
      </c>
      <c r="G3" s="19" t="s">
        <v>32</v>
      </c>
      <c r="H3" s="19" t="s">
        <v>33</v>
      </c>
      <c r="I3" s="20" t="s">
        <v>34</v>
      </c>
    </row>
    <row r="4" customFormat="false" ht="15.75" hidden="false" customHeight="false" outlineLevel="0" collapsed="false">
      <c r="B4" s="18" t="n">
        <v>1</v>
      </c>
      <c r="C4" s="21" t="n">
        <v>150</v>
      </c>
      <c r="D4" s="21" t="n">
        <v>1</v>
      </c>
      <c r="E4" s="21" t="n">
        <v>16</v>
      </c>
      <c r="F4" s="22" t="n">
        <v>1093.14</v>
      </c>
      <c r="G4" s="23" t="n">
        <v>15</v>
      </c>
      <c r="H4" s="23" t="n">
        <v>36.4380550980766</v>
      </c>
      <c r="I4" s="24" t="s">
        <v>35</v>
      </c>
    </row>
    <row r="5" customFormat="false" ht="15.75" hidden="false" customHeight="false" outlineLevel="0" collapsed="false">
      <c r="B5" s="18" t="n">
        <v>2</v>
      </c>
      <c r="C5" s="25" t="n">
        <v>180</v>
      </c>
      <c r="D5" s="21" t="n">
        <v>1</v>
      </c>
      <c r="E5" s="21" t="n">
        <v>16</v>
      </c>
      <c r="F5" s="26" t="n">
        <v>1574.12398023691</v>
      </c>
      <c r="G5" s="23" t="n">
        <v>18</v>
      </c>
      <c r="H5" s="23" t="n">
        <v>43.7256661176919</v>
      </c>
      <c r="I5" s="27" t="s">
        <v>36</v>
      </c>
    </row>
    <row r="6" customFormat="false" ht="15.75" hidden="false" customHeight="false" outlineLevel="0" collapsed="false">
      <c r="B6" s="18" t="n">
        <v>3</v>
      </c>
      <c r="C6" s="21" t="n">
        <v>180</v>
      </c>
      <c r="D6" s="21" t="n">
        <v>1</v>
      </c>
      <c r="E6" s="28" t="n">
        <v>20</v>
      </c>
      <c r="F6" s="23" t="n">
        <v>1574.12398023691</v>
      </c>
      <c r="G6" s="23" t="n">
        <v>18</v>
      </c>
      <c r="H6" s="23" t="n">
        <v>43.7256661176919</v>
      </c>
      <c r="I6" s="29" t="s">
        <v>35</v>
      </c>
    </row>
    <row r="7" customFormat="false" ht="15.75" hidden="false" customHeight="false" outlineLevel="0" collapsed="false">
      <c r="B7" s="18" t="n">
        <v>4</v>
      </c>
      <c r="C7" s="21" t="n">
        <v>180</v>
      </c>
      <c r="D7" s="30" t="n">
        <v>0.75</v>
      </c>
      <c r="E7" s="21" t="n">
        <v>20</v>
      </c>
      <c r="F7" s="23" t="n">
        <v>1575.05483601619</v>
      </c>
      <c r="G7" s="23" t="n">
        <v>17.25</v>
      </c>
      <c r="H7" s="31" t="n">
        <v>45.653763362788</v>
      </c>
      <c r="I7" s="24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17" activeCellId="0" sqref="C17"/>
    </sheetView>
  </sheetViews>
  <sheetFormatPr defaultColWidth="10.56640625" defaultRowHeight="15.75" customHeight="true" zeroHeight="false" outlineLevelRow="0" outlineLevelCol="0"/>
  <cols>
    <col collapsed="false" customWidth="true" hidden="false" outlineLevel="0" max="1" min="1" style="1" width="30.5"/>
    <col collapsed="false" customWidth="true" hidden="false" outlineLevel="0" max="5" min="5" style="1" width="11.66"/>
    <col collapsed="false" customWidth="true" hidden="false" outlineLevel="0" max="6" min="6" style="1" width="11.83"/>
    <col collapsed="false" customWidth="true" hidden="false" outlineLevel="0" max="7" min="7" style="1" width="11.5"/>
  </cols>
  <sheetData>
    <row r="1" customFormat="false" ht="15.75" hidden="false" customHeight="false" outlineLevel="0" collapsed="false">
      <c r="A1" s="2" t="s">
        <v>37</v>
      </c>
    </row>
    <row r="2" customFormat="false" ht="15.75" hidden="false" customHeight="false" outlineLevel="0" collapsed="false">
      <c r="A2" s="32" t="s">
        <v>38</v>
      </c>
      <c r="B2" s="32"/>
      <c r="C2" s="32"/>
      <c r="E2" s="33" t="s">
        <v>39</v>
      </c>
      <c r="F2" s="33"/>
      <c r="G2" s="33"/>
      <c r="H2" s="33"/>
    </row>
    <row r="3" customFormat="false" ht="15.75" hidden="false" customHeight="true" outlineLevel="0" collapsed="false">
      <c r="E3" s="34" t="s">
        <v>40</v>
      </c>
      <c r="F3" s="35" t="s">
        <v>41</v>
      </c>
      <c r="G3" s="35" t="s">
        <v>42</v>
      </c>
      <c r="H3" s="35" t="s">
        <v>43</v>
      </c>
    </row>
    <row r="4" customFormat="false" ht="15.75" hidden="false" customHeight="false" outlineLevel="0" collapsed="false">
      <c r="A4" s="36" t="s">
        <v>40</v>
      </c>
      <c r="B4" s="37" t="s">
        <v>44</v>
      </c>
      <c r="E4" s="34"/>
      <c r="F4" s="35"/>
      <c r="G4" s="35"/>
      <c r="H4" s="35"/>
    </row>
    <row r="5" customFormat="false" ht="15.75" hidden="false" customHeight="false" outlineLevel="0" collapsed="false">
      <c r="A5" s="38" t="s">
        <v>45</v>
      </c>
      <c r="B5" s="39" t="n">
        <f aca="false">_xlfn.XLOOKUP(B4,E6:E17,G6:G17)</f>
        <v>8.9</v>
      </c>
      <c r="E5" s="34"/>
      <c r="F5" s="35"/>
      <c r="G5" s="35"/>
      <c r="H5" s="35"/>
    </row>
    <row r="6" customFormat="false" ht="15.75" hidden="false" customHeight="false" outlineLevel="0" collapsed="false">
      <c r="A6" s="40" t="s">
        <v>46</v>
      </c>
      <c r="B6" s="41" t="n">
        <f aca="false">_xlfn.XLOOKUP(B4,E6:E17,H6:H17)</f>
        <v>2.7</v>
      </c>
      <c r="E6" s="42" t="s">
        <v>47</v>
      </c>
      <c r="F6" s="43" t="n">
        <v>0.377</v>
      </c>
      <c r="G6" s="42" t="n">
        <v>8.6</v>
      </c>
      <c r="H6" s="42" t="n">
        <v>3.5</v>
      </c>
    </row>
    <row r="7" customFormat="false" ht="15.75" hidden="false" customHeight="false" outlineLevel="0" collapsed="false">
      <c r="A7" s="44" t="s">
        <v>48</v>
      </c>
      <c r="B7" s="45" t="n">
        <f aca="false">COUNTIF(H6:H17, "&lt;"&amp;B6)</f>
        <v>4</v>
      </c>
      <c r="E7" s="42" t="s">
        <v>49</v>
      </c>
      <c r="F7" s="43" t="n">
        <v>0.435</v>
      </c>
      <c r="G7" s="42" t="n">
        <v>8.8</v>
      </c>
      <c r="H7" s="42" t="n">
        <v>3.3</v>
      </c>
    </row>
    <row r="8" customFormat="false" ht="15.75" hidden="false" customHeight="false" outlineLevel="0" collapsed="false">
      <c r="A8" s="46" t="s">
        <v>50</v>
      </c>
      <c r="B8" s="45"/>
      <c r="E8" s="42" t="s">
        <v>44</v>
      </c>
      <c r="F8" s="43" t="n">
        <v>0.385</v>
      </c>
      <c r="G8" s="42" t="n">
        <v>8.9</v>
      </c>
      <c r="H8" s="42" t="n">
        <v>2.7</v>
      </c>
    </row>
    <row r="9" customFormat="false" ht="15.75" hidden="false" customHeight="false" outlineLevel="0" collapsed="false">
      <c r="A9" s="47" t="s">
        <v>51</v>
      </c>
      <c r="B9" s="48" t="n">
        <f aca="false">MIN(H6:H17)</f>
        <v>1.5</v>
      </c>
      <c r="E9" s="42" t="s">
        <v>52</v>
      </c>
      <c r="F9" s="43" t="n">
        <v>0.45</v>
      </c>
      <c r="G9" s="42" t="n">
        <v>7.85</v>
      </c>
      <c r="H9" s="42" t="n">
        <v>4.6</v>
      </c>
    </row>
    <row r="10" customFormat="false" ht="15.75" hidden="false" customHeight="false" outlineLevel="0" collapsed="false">
      <c r="E10" s="42" t="s">
        <v>53</v>
      </c>
      <c r="F10" s="43" t="n">
        <v>0.13</v>
      </c>
      <c r="G10" s="42" t="n">
        <v>11.3</v>
      </c>
      <c r="H10" s="42" t="n">
        <v>1.5</v>
      </c>
    </row>
    <row r="11" customFormat="false" ht="15.75" hidden="false" customHeight="false" outlineLevel="0" collapsed="false">
      <c r="E11" s="42" t="s">
        <v>54</v>
      </c>
      <c r="F11" s="43" t="n">
        <v>0.25</v>
      </c>
      <c r="G11" s="42" t="n">
        <v>10.2</v>
      </c>
      <c r="H11" s="42" t="n">
        <v>5.5</v>
      </c>
    </row>
    <row r="12" customFormat="false" ht="15.75" hidden="false" customHeight="false" outlineLevel="0" collapsed="false">
      <c r="E12" s="42" t="s">
        <v>55</v>
      </c>
      <c r="F12" s="43" t="n">
        <v>0.13</v>
      </c>
      <c r="G12" s="42" t="n">
        <v>21.4</v>
      </c>
      <c r="H12" s="42" t="n">
        <v>4.3</v>
      </c>
    </row>
    <row r="13" customFormat="false" ht="15.75" hidden="false" customHeight="false" outlineLevel="0" collapsed="false">
      <c r="E13" s="42" t="s">
        <v>56</v>
      </c>
      <c r="F13" s="43" t="n">
        <v>0.456</v>
      </c>
      <c r="G13" s="42" t="n">
        <v>7.85</v>
      </c>
      <c r="H13" s="42" t="n">
        <v>7.1</v>
      </c>
    </row>
    <row r="14" customFormat="false" ht="15.75" hidden="false" customHeight="false" outlineLevel="0" collapsed="false">
      <c r="E14" s="42" t="s">
        <v>57</v>
      </c>
      <c r="F14" s="43" t="n">
        <v>0.21</v>
      </c>
      <c r="G14" s="42" t="n">
        <v>7.28</v>
      </c>
      <c r="H14" s="42" t="n">
        <v>1.6</v>
      </c>
    </row>
    <row r="15" customFormat="false" ht="15.75" hidden="false" customHeight="false" outlineLevel="0" collapsed="false">
      <c r="E15" s="42" t="s">
        <v>58</v>
      </c>
      <c r="F15" s="43" t="n">
        <v>0.13</v>
      </c>
      <c r="G15" s="42" t="n">
        <v>19.6</v>
      </c>
      <c r="H15" s="42" t="n">
        <v>7.5</v>
      </c>
    </row>
    <row r="16" customFormat="false" ht="15.75" hidden="false" customHeight="false" outlineLevel="0" collapsed="false">
      <c r="E16" s="42" t="s">
        <v>59</v>
      </c>
      <c r="F16" s="43" t="n">
        <v>0.12</v>
      </c>
      <c r="G16" s="42" t="n">
        <v>18.9</v>
      </c>
      <c r="H16" s="42" t="n">
        <v>1.96</v>
      </c>
    </row>
    <row r="17" customFormat="false" ht="15.75" hidden="false" customHeight="false" outlineLevel="0" collapsed="false">
      <c r="E17" s="42" t="s">
        <v>60</v>
      </c>
      <c r="F17" s="43" t="n">
        <v>0.39</v>
      </c>
      <c r="G17" s="42" t="n">
        <v>7.14</v>
      </c>
      <c r="H17" s="42" t="n">
        <v>2.5</v>
      </c>
    </row>
  </sheetData>
  <mergeCells count="7">
    <mergeCell ref="A2:C2"/>
    <mergeCell ref="E2:H2"/>
    <mergeCell ref="E3:E5"/>
    <mergeCell ref="F3:F5"/>
    <mergeCell ref="G3:G5"/>
    <mergeCell ref="H3:H5"/>
    <mergeCell ref="B7:B8"/>
  </mergeCells>
  <dataValidations count="1">
    <dataValidation allowBlank="true" errorStyle="stop" operator="equal" showDropDown="false" showErrorMessage="true" showInputMessage="false" sqref="B4" type="list">
      <formula1>E6:E17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27" activeCellId="0" sqref="A27"/>
    </sheetView>
  </sheetViews>
  <sheetFormatPr defaultColWidth="10.56640625" defaultRowHeight="15.75" customHeight="true" zeroHeight="false" outlineLevelRow="0" outlineLevelCol="0"/>
  <cols>
    <col collapsed="false" customWidth="true" hidden="false" outlineLevel="0" max="1" min="1" style="1" width="15.84"/>
  </cols>
  <sheetData>
    <row r="1" customFormat="false" ht="15.75" hidden="false" customHeight="false" outlineLevel="0" collapsed="false">
      <c r="A1" s="2" t="s">
        <v>61</v>
      </c>
      <c r="B1" s="49"/>
      <c r="C1" s="49"/>
      <c r="D1" s="49"/>
      <c r="E1" s="49"/>
      <c r="F1" s="49"/>
      <c r="G1" s="49"/>
      <c r="H1" s="49"/>
    </row>
    <row r="2" customFormat="false" ht="15.75" hidden="false" customHeight="false" outlineLevel="0" collapsed="false">
      <c r="A2" s="50" t="s">
        <v>62</v>
      </c>
      <c r="B2" s="49"/>
      <c r="C2" s="49"/>
      <c r="D2" s="49"/>
      <c r="E2" s="49"/>
      <c r="F2" s="49"/>
      <c r="G2" s="49"/>
      <c r="H2" s="49"/>
    </row>
    <row r="3" customFormat="false" ht="15.75" hidden="false" customHeight="false" outlineLevel="0" collapsed="false">
      <c r="B3" s="49"/>
      <c r="C3" s="49"/>
      <c r="D3" s="49"/>
      <c r="E3" s="49"/>
      <c r="F3" s="49"/>
      <c r="G3" s="49"/>
      <c r="H3" s="49"/>
    </row>
    <row r="5" customFormat="false" ht="15.75" hidden="false" customHeight="false" outlineLevel="0" collapsed="false">
      <c r="A5" s="50" t="s">
        <v>63</v>
      </c>
      <c r="B5" s="51" t="n">
        <v>0.5</v>
      </c>
    </row>
    <row r="6" customFormat="false" ht="15.75" hidden="false" customHeight="false" outlineLevel="0" collapsed="false">
      <c r="B6" s="52"/>
    </row>
    <row r="9" customFormat="false" ht="15.75" hidden="false" customHeight="false" outlineLevel="0" collapsed="false">
      <c r="A9" s="53" t="s">
        <v>64</v>
      </c>
      <c r="B9" s="54" t="s">
        <v>65</v>
      </c>
      <c r="C9" s="54"/>
      <c r="D9" s="54"/>
      <c r="E9" s="54"/>
      <c r="F9" s="54"/>
    </row>
    <row r="10" customFormat="false" ht="15.75" hidden="false" customHeight="false" outlineLevel="0" collapsed="false">
      <c r="A10" s="53"/>
      <c r="B10" s="55" t="n">
        <v>0</v>
      </c>
      <c r="C10" s="55" t="n">
        <v>45</v>
      </c>
      <c r="D10" s="55" t="n">
        <v>90</v>
      </c>
      <c r="E10" s="55" t="n">
        <v>135</v>
      </c>
      <c r="F10" s="55" t="n">
        <v>180</v>
      </c>
    </row>
    <row r="11" customFormat="false" ht="15.75" hidden="false" customHeight="false" outlineLevel="0" collapsed="false">
      <c r="A11" s="56" t="n">
        <v>0.0001</v>
      </c>
      <c r="B11" s="57" t="n">
        <f aca="false">0.75*$A11^($B$5-1)*(COS(1.5*RADIANS(B$10))+SIN(1.5*RADIANS(B$10))+COS(-0.5*RADIANS(B$10))+SIN(-0.5*RADIANS(B$10)))</f>
        <v>150</v>
      </c>
      <c r="C11" s="57" t="n">
        <f aca="false">0.75*$A11^($B$5-1)*(COS(1.5*RADIANS(C$10))+SIN(1.5*RADIANS(C$10))+COS(-0.5*RADIANS(C$10))+SIN(-0.5*RADIANS(C$10)))</f>
        <v>138.581929876693</v>
      </c>
      <c r="D11" s="57" t="n">
        <f aca="false">0.75*$A11^($B$5-1)*(COS(1.5*RADIANS(D$10))+SIN(1.5*RADIANS(D$10))+COS(-0.5*RADIANS(D$10))+SIN(-0.5*RADIANS(D$10)))</f>
        <v>0</v>
      </c>
      <c r="E11" s="57" t="n">
        <f aca="false">0.75*$A11^($B$5-1)*(COS(1.5*RADIANS(E$10))+SIN(1.5*RADIANS(E$10))+COS(-0.5*RADIANS(E$10))+SIN(-0.5*RADIANS(E$10)))</f>
        <v>-138.581929876693</v>
      </c>
      <c r="F11" s="57" t="n">
        <f aca="false">0.75*$A11^($B$5-1)*(COS(1.5*RADIANS(F$10))+SIN(1.5*RADIANS(F$10))+COS(-0.5*RADIANS(F$10))+SIN(-0.5*RADIANS(F$10)))</f>
        <v>-150</v>
      </c>
    </row>
    <row r="12" customFormat="false" ht="15.75" hidden="false" customHeight="false" outlineLevel="0" collapsed="false">
      <c r="A12" s="56" t="n">
        <v>0.001</v>
      </c>
      <c r="B12" s="57" t="n">
        <f aca="false">0.75*$A12^($B$5-1)*(COS(1.5*RADIANS(B$10))+SIN(1.5*RADIANS(B$10))+COS(-0.5*RADIANS(B$10))+SIN(-0.5*RADIANS(B$10)))</f>
        <v>47.4341649025257</v>
      </c>
      <c r="C12" s="57" t="n">
        <f aca="false">0.75*$A12^($B$5-1)*(COS(1.5*RADIANS(C$10))+SIN(1.5*RADIANS(C$10))+COS(-0.5*RADIANS(C$10))+SIN(-0.5*RADIANS(C$10)))</f>
        <v>43.8234540952087</v>
      </c>
      <c r="D12" s="57" t="n">
        <f aca="false">0.75*$A12^($B$5-1)*(COS(1.5*RADIANS(D$10))+SIN(1.5*RADIANS(D$10))+COS(-0.5*RADIANS(D$10))+SIN(-0.5*RADIANS(D$10)))</f>
        <v>0</v>
      </c>
      <c r="E12" s="57" t="n">
        <f aca="false">0.75*$A12^($B$5-1)*(COS(1.5*RADIANS(E$10))+SIN(1.5*RADIANS(E$10))+COS(-0.5*RADIANS(E$10))+SIN(-0.5*RADIANS(E$10)))</f>
        <v>-43.8234540952087</v>
      </c>
      <c r="F12" s="57" t="n">
        <f aca="false">0.75*$A12^($B$5-1)*(COS(1.5*RADIANS(F$10))+SIN(1.5*RADIANS(F$10))+COS(-0.5*RADIANS(F$10))+SIN(-0.5*RADIANS(F$10)))</f>
        <v>-47.4341649025257</v>
      </c>
    </row>
    <row r="13" customFormat="false" ht="15.75" hidden="false" customHeight="false" outlineLevel="0" collapsed="false">
      <c r="A13" s="56" t="n">
        <v>0.01</v>
      </c>
      <c r="B13" s="57" t="n">
        <f aca="false">0.75*$A13^($B$5-1)*(COS(1.5*RADIANS(B$10))+SIN(1.5*RADIANS(B$10))+COS(-0.5*RADIANS(B$10))+SIN(-0.5*RADIANS(B$10)))</f>
        <v>15</v>
      </c>
      <c r="C13" s="57" t="n">
        <f aca="false">0.75*$A13^($B$5-1)*(COS(1.5*RADIANS(C$10))+SIN(1.5*RADIANS(C$10))+COS(-0.5*RADIANS(C$10))+SIN(-0.5*RADIANS(C$10)))</f>
        <v>13.8581929876693</v>
      </c>
      <c r="D13" s="57" t="n">
        <f aca="false">0.75*$A13^($B$5-1)*(COS(1.5*RADIANS(D$10))+SIN(1.5*RADIANS(D$10))+COS(-0.5*RADIANS(D$10))+SIN(-0.5*RADIANS(D$10)))</f>
        <v>0</v>
      </c>
      <c r="E13" s="57" t="n">
        <f aca="false">0.75*$A13^($B$5-1)*(COS(1.5*RADIANS(E$10))+SIN(1.5*RADIANS(E$10))+COS(-0.5*RADIANS(E$10))+SIN(-0.5*RADIANS(E$10)))</f>
        <v>-13.8581929876693</v>
      </c>
      <c r="F13" s="57" t="n">
        <f aca="false">0.75*$A13^($B$5-1)*(COS(1.5*RADIANS(F$10))+SIN(1.5*RADIANS(F$10))+COS(-0.5*RADIANS(F$10))+SIN(-0.5*RADIANS(F$10)))</f>
        <v>-15</v>
      </c>
    </row>
    <row r="14" customFormat="false" ht="15.75" hidden="false" customHeight="false" outlineLevel="0" collapsed="false">
      <c r="A14" s="56" t="n">
        <v>0.1</v>
      </c>
      <c r="B14" s="57" t="n">
        <f aca="false">0.75*$A14^($B$5-1)*(COS(1.5*RADIANS(B$10))+SIN(1.5*RADIANS(B$10))+COS(-0.5*RADIANS(B$10))+SIN(-0.5*RADIANS(B$10)))</f>
        <v>4.74341649025257</v>
      </c>
      <c r="C14" s="57" t="n">
        <f aca="false">0.75*$A14^($B$5-1)*(COS(1.5*RADIANS(C$10))+SIN(1.5*RADIANS(C$10))+COS(-0.5*RADIANS(C$10))+SIN(-0.5*RADIANS(C$10)))</f>
        <v>4.38234540952087</v>
      </c>
      <c r="D14" s="57" t="n">
        <f aca="false">0.75*$A14^($B$5-1)*(COS(1.5*RADIANS(D$10))+SIN(1.5*RADIANS(D$10))+COS(-0.5*RADIANS(D$10))+SIN(-0.5*RADIANS(D$10)))</f>
        <v>0</v>
      </c>
      <c r="E14" s="57" t="n">
        <f aca="false">0.75*$A14^($B$5-1)*(COS(1.5*RADIANS(E$10))+SIN(1.5*RADIANS(E$10))+COS(-0.5*RADIANS(E$10))+SIN(-0.5*RADIANS(E$10)))</f>
        <v>-4.38234540952087</v>
      </c>
      <c r="F14" s="57" t="n">
        <f aca="false">0.75*$A14^($B$5-1)*(COS(1.5*RADIANS(F$10))+SIN(1.5*RADIANS(F$10))+COS(-0.5*RADIANS(F$10))+SIN(-0.5*RADIANS(F$10)))</f>
        <v>-4.74341649025257</v>
      </c>
    </row>
    <row r="15" customFormat="false" ht="15.75" hidden="false" customHeight="false" outlineLevel="0" collapsed="false">
      <c r="A15" s="56" t="n">
        <v>0.2</v>
      </c>
      <c r="B15" s="57" t="n">
        <f aca="false">0.75*$A15^($B$5-1)*(COS(1.5*RADIANS(B$10))+SIN(1.5*RADIANS(B$10))+COS(-0.5*RADIANS(B$10))+SIN(-0.5*RADIANS(B$10)))</f>
        <v>3.35410196624968</v>
      </c>
      <c r="C15" s="57" t="n">
        <f aca="false">0.75*$A15^($B$5-1)*(COS(1.5*RADIANS(C$10))+SIN(1.5*RADIANS(C$10))+COS(-0.5*RADIANS(C$10))+SIN(-0.5*RADIANS(C$10)))</f>
        <v>3.09878615657395</v>
      </c>
      <c r="D15" s="57" t="n">
        <f aca="false">0.75*$A15^($B$5-1)*(COS(1.5*RADIANS(D$10))+SIN(1.5*RADIANS(D$10))+COS(-0.5*RADIANS(D$10))+SIN(-0.5*RADIANS(D$10)))</f>
        <v>0</v>
      </c>
      <c r="E15" s="57" t="n">
        <f aca="false">0.75*$A15^($B$5-1)*(COS(1.5*RADIANS(E$10))+SIN(1.5*RADIANS(E$10))+COS(-0.5*RADIANS(E$10))+SIN(-0.5*RADIANS(E$10)))</f>
        <v>-3.09878615657395</v>
      </c>
      <c r="F15" s="57" t="n">
        <f aca="false">0.75*$A15^($B$5-1)*(COS(1.5*RADIANS(F$10))+SIN(1.5*RADIANS(F$10))+COS(-0.5*RADIANS(F$10))+SIN(-0.5*RADIANS(F$10)))</f>
        <v>-3.35410196624968</v>
      </c>
    </row>
    <row r="16" customFormat="false" ht="15.75" hidden="false" customHeight="false" outlineLevel="0" collapsed="false">
      <c r="A16" s="56" t="n">
        <v>0.5</v>
      </c>
      <c r="B16" s="57" t="n">
        <f aca="false">0.75*$A16^($B$5-1)*(COS(1.5*RADIANS(B$10))+SIN(1.5*RADIANS(B$10))+COS(-0.5*RADIANS(B$10))+SIN(-0.5*RADIANS(B$10)))</f>
        <v>2.12132034355964</v>
      </c>
      <c r="C16" s="57" t="n">
        <f aca="false">0.75*$A16^($B$5-1)*(COS(1.5*RADIANS(C$10))+SIN(1.5*RADIANS(C$10))+COS(-0.5*RADIANS(C$10))+SIN(-0.5*RADIANS(C$10)))</f>
        <v>1.95984444731457</v>
      </c>
      <c r="D16" s="57" t="n">
        <f aca="false">0.75*$A16^($B$5-1)*(COS(1.5*RADIANS(D$10))+SIN(1.5*RADIANS(D$10))+COS(-0.5*RADIANS(D$10))+SIN(-0.5*RADIANS(D$10)))</f>
        <v>0</v>
      </c>
      <c r="E16" s="57" t="n">
        <f aca="false">0.75*$A16^($B$5-1)*(COS(1.5*RADIANS(E$10))+SIN(1.5*RADIANS(E$10))+COS(-0.5*RADIANS(E$10))+SIN(-0.5*RADIANS(E$10)))</f>
        <v>-1.95984444731457</v>
      </c>
      <c r="F16" s="57" t="n">
        <f aca="false">0.75*$A16^($B$5-1)*(COS(1.5*RADIANS(F$10))+SIN(1.5*RADIANS(F$10))+COS(-0.5*RADIANS(F$10))+SIN(-0.5*RADIANS(F$10)))</f>
        <v>-2.12132034355964</v>
      </c>
    </row>
  </sheetData>
  <mergeCells count="3">
    <mergeCell ref="B1:H3"/>
    <mergeCell ref="A9:A10"/>
    <mergeCell ref="B9:F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2021-09-23T14:18:40Z</dcterms:created>
  <dc:creator>Microsoft Office User</dc:creator>
  <dc:description/>
  <dc:language>en-US</dc:language>
  <cp:lastModifiedBy/>
  <dcterms:modified xsi:type="dcterms:W3CDTF">2025-10-05T18:30:29Z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